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ea61e4123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ificação" sheetId="1" r:id="R8476afc5e57046fc"/>
    <x:sheet xmlns:r="http://schemas.openxmlformats.org/officeDocument/2006/relationships" name="Síntese" sheetId="2" r:id="Rd3e0c3e7dad44fa1"/>
    <x:sheet xmlns:r="http://schemas.openxmlformats.org/officeDocument/2006/relationships" name="Resumo turma" sheetId="3" r:id="R19cba87a5bfe4f54"/>
    <x:sheet xmlns:r="http://schemas.openxmlformats.org/officeDocument/2006/relationships" name="Critérios" sheetId="4" r:id="Ra745f0c14e82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1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a83bc77e84c6d" /><Relationship Type="http://schemas.openxmlformats.org/officeDocument/2006/relationships/theme" Target="/xl/theme/theme1.xml" Id="R2d47fee3c66944fc" /><Relationship Type="http://schemas.openxmlformats.org/officeDocument/2006/relationships/sharedStrings" Target="/xl/sharedStrings.xml" Id="Ra404aec1ff304dcb" /><Relationship Type="http://schemas.openxmlformats.org/officeDocument/2006/relationships/worksheet" Target="/xl/worksheets/sheet1.xml" Id="R8476afc5e57046fc" /><Relationship Type="http://schemas.openxmlformats.org/officeDocument/2006/relationships/worksheet" Target="/xl/worksheets/sheet2.xml" Id="Rd3e0c3e7dad44fa1" /><Relationship Type="http://schemas.openxmlformats.org/officeDocument/2006/relationships/worksheet" Target="/xl/worksheets/sheet3.xml" Id="R19cba87a5bfe4f54" /><Relationship Type="http://schemas.openxmlformats.org/officeDocument/2006/relationships/worksheet" Target="/xl/worksheets/sheet4.xml" Id="Ra745f0c14e824c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2fa0ddf6a341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Registros com evidência clara por habilidade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Chaves do Cofre</c:v>
          </c:tx>
          <c:cat>
            <c:strRef>
              <c:f>'Resumo turma'!$J$3:$J$7</c:f>
              <c:strCache>
                <c:ptCount val="0"/>
              </c:strCache>
            </c:strRef>
          </c:cat>
          <c:val>
            <c:numRef>
              <c:f>'Resumo turma'!$K$3:$K$7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Água para Todos</c:v>
          </c:tx>
          <c:cat>
            <c:strRef>
              <c:f>'Resumo turma'!$J$3:$J$7</c:f>
              <c:strCache>
                <c:ptCount val="0"/>
              </c:strCache>
            </c:strRef>
          </c:cat>
          <c:val>
            <c:numRef>
              <c:f>'Resumo turma'!$L$3:$L$7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2fa0ddf6a341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159df41f82247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0" hidden="0" customWidth="1"/>
    <x:col min="5" max="5" width="42" hidden="0" customWidth="1"/>
    <x:col min="6" max="6" width="28" hidden="0" customWidth="1"/>
    <x:col min="7" max="7" width="26" hidden="0" customWidth="1"/>
    <x:col min="8" max="8" width="14" hidden="0" customWidth="1"/>
    <x:col min="9" max="9" width="52" hidden="0" customWidth="1"/>
  </x:cols>
  <x:sheetData>
    <x:row r="1">
      <x:c r="A1" s="22" t="str">
        <x:v>Atividade</x:v>
      </x:c>
      <x:c r="B1" s="22" t="str">
        <x:v>Código</x:v>
      </x:c>
      <x:c r="C1" s="22" t="str">
        <x:v>Nome (revisão)</x:v>
      </x:c>
      <x:c r="D1" s="22" t="str">
        <x:v>Questão</x:v>
      </x:c>
      <x:c r="E1" s="22" t="str">
        <x:v>Registro revisado</x:v>
      </x:c>
      <x:c r="F1" s="22" t="str">
        <x:v>Estratégia observada</x:v>
      </x:c>
      <x:c r="G1" s="22" t="str">
        <x:v>Habilidade</x:v>
      </x:c>
      <x:c r="H1" s="22" t="str">
        <x:v>Classificação</x:v>
      </x:c>
      <x:c r="I1" s="22" t="str">
        <x:v>Justificativa</x:v>
      </x:c>
    </x:row>
    <x:row r="2">
      <x:c r="A2" s="23" t="str">
        <x:v>Chaves do Cofre</x:v>
      </x:c>
      <x:c r="B2" s="23" t="str">
        <x:v>A001</x:v>
      </x:c>
      <x:c r="C2" s="23" t="str">
        <x:v>Mª Luiza Fortes</x:v>
      </x:c>
      <x:c r="D2" s="23" t="str">
        <x:v>Q2</x:v>
      </x:c>
      <x:c r="E2" s="23" t="str">
        <x:v>círculo → hexágono → triângulo invertido → estrela</x:v>
      </x:c>
      <x:c r="F2" s="23" t="str">
        <x:v>Sequência ordenada</x:v>
      </x:c>
      <x:c r="G2" s="23" t="str">
        <x:v>Pensamento algorítmico</x:v>
      </x:c>
      <x:c r="H2" s="23" t="str">
        <x:v>C</x:v>
      </x:c>
      <x:c r="I2" s="23" t="str">
        <x:v>A resposta registra uma sequência explícita de elementos, permitindo observar organização passo a passo.</x:v>
      </x:c>
    </x:row>
    <x:row r="3">
      <x:c r="A3" s="23" t="str">
        <x:v>Chaves do Cofre</x:v>
      </x:c>
      <x:c r="B3" s="23" t="str">
        <x:v>A001</x:v>
      </x:c>
      <x:c r="C3" s="23" t="str">
        <x:v>Mª Luiza Fortes</x:v>
      </x:c>
      <x:c r="D3" s="23" t="str">
        <x:v>Q4</x:v>
      </x:c>
      <x:c r="E3" s="23" t="str">
        <x:v>Sim; círculo -&gt; triângulo invertido -&gt; círculo -&gt; seta -&gt; círculo</x:v>
      </x:c>
      <x:c r="F3" s="23" t="str">
        <x:v>Teste de alternativa</x:v>
      </x:c>
      <x:c r="G3" s="23" t="str">
        <x:v>Avaliação e depuração</x:v>
      </x:c>
      <x:c r="H3" s="23" t="str">
        <x:v>C</x:v>
      </x:c>
      <x:c r="I3" s="23" t="str">
        <x:v>Há registro explícito de que outro caminho foi testado, acompanhado de uma representação alternativa.</x:v>
      </x:c>
    </x:row>
    <x:row r="4">
      <x:c r="A4" s="23" t="str">
        <x:v>Chaves do Cofre</x:v>
      </x:c>
      <x:c r="B4" s="23" t="str">
        <x:v>A001</x:v>
      </x:c>
      <x:c r="C4" s="23" t="str">
        <x:v>Mª Luiza Fortes</x:v>
      </x:c>
      <x:c r="D4" s="23" t="str">
        <x:v>Q5</x:v>
      </x:c>
      <x:c r="E4" s="23" t="str">
        <x:v>Depois que eu li o enunciado de novo.</x:v>
      </x:c>
      <x:c r="F4" s="23" t="str">
        <x:v>Releitura/revisão</x:v>
      </x:c>
      <x:c r="G4" s="23" t="str">
        <x:v>Avaliação e depuração</x:v>
      </x:c>
      <x:c r="H4" s="23" t="str">
        <x:v>P</x:v>
      </x:c>
      <x:c r="I4" s="23" t="str">
        <x:v>A releitura indica revisão da própria resolução, mas não mostra como caminhos ou resultados foram comparados.</x:v>
      </x:c>
    </x:row>
    <x:row r="5">
      <x:c r="A5" s="23" t="str">
        <x:v>Chaves do Cofre</x:v>
      </x:c>
      <x:c r="B5" s="23" t="str">
        <x:v>A001</x:v>
      </x:c>
      <x:c r="C5" s="23" t="str">
        <x:v>Mª Luiza Fortes</x:v>
      </x:c>
      <x:c r="D5" s="23" t="str">
        <x:v>Q7</x:v>
      </x:c>
      <x:c r="E5" s="23" t="str">
        <x:v>Mudou resposta/estratégia: Sim; sem justificativa.</x:v>
      </x:c>
      <x:c r="F5" s="23" t="str">
        <x:v>Mudança após interação</x:v>
      </x:c>
      <x:c r="G5" s="23" t="str">
        <x:v>Avaliação e depuração</x:v>
      </x:c>
      <x:c r="H5" s="23" t="str">
        <x:v>P</x:v>
      </x:c>
      <x:c r="I5" s="23" t="str">
        <x:v>A mudança sugere revisão da estratégia, mas a ausência de justificativa impede caracterizar o processo com maior precisão.</x:v>
      </x:c>
    </x:row>
    <x:row r="6">
      <x:c r="A6" s="23" t="str">
        <x:v>Chaves do Cofre</x:v>
      </x:c>
      <x:c r="B6" s="23" t="str">
        <x:v>A002</x:v>
      </x:c>
      <x:c r="C6" s="23" t="str">
        <x:v>Maryana S.S</x:v>
      </x:c>
      <x:c r="D6" s="23" t="str">
        <x:v>Q2</x:v>
      </x:c>
      <x:c r="E6" s="23" t="str">
        <x:v>(☆) → (▽) → (☆) → (৫)</x:v>
      </x:c>
      <x:c r="F6" s="23" t="str">
        <x:v>Sequência ordenada</x:v>
      </x:c>
      <x:c r="G6" s="23" t="str">
        <x:v>Pensamento algorítmico</x:v>
      </x:c>
      <x:c r="H6" s="23" t="str">
        <x:v>C</x:v>
      </x:c>
      <x:c r="I6" s="23" t="str">
        <x:v>Há uma sequência registrada em ordem, ainda que algumas formas estejam representadas de modo idiossincrático.</x:v>
      </x:c>
    </x:row>
    <x:row r="7">
      <x:c r="A7" s="23" t="str">
        <x:v>Chaves do Cofre</x:v>
      </x:c>
      <x:c r="B7" s="23" t="str">
        <x:v>A002</x:v>
      </x:c>
      <x:c r="C7" s="23" t="str">
        <x:v>Maryana S.S</x:v>
      </x:c>
      <x:c r="D7" s="23" t="str">
        <x:v>Q3</x:v>
      </x:c>
      <x:c r="E7" s="23" t="str">
        <x:v>O (Pentagoho) -&gt; Pentagono (▽) -&gt; (☆) -&gt; (৫) -&gt; CHAVE</x:v>
      </x:c>
      <x:c r="F7" s="23" t="str">
        <x:v>Descrição de percurso</x:v>
      </x:c>
      <x:c r="G7" s="23" t="str">
        <x:v>Pensamento algorítmico</x:v>
      </x:c>
      <x:c r="H7" s="23" t="str">
        <x:v>C</x:v>
      </x:c>
      <x:c r="I7" s="23" t="str">
        <x:v>A estudante explicita um percurso encadeado até a chave.</x:v>
      </x:c>
    </x:row>
    <x:row r="8">
      <x:c r="A8" s="23" t="str">
        <x:v>Chaves do Cofre</x:v>
      </x:c>
      <x:c r="B8" s="23" t="str">
        <x:v>A002</x:v>
      </x:c>
      <x:c r="C8" s="23" t="str">
        <x:v>Maryana S.S</x:v>
      </x:c>
      <x:c r="D8" s="23" t="str">
        <x:v>Q4</x:v>
      </x:c>
      <x:c r="E8" s="23" t="str">
        <x:v>Sim; 'Testei CADA círculo Até chegar em um bom camihHo'</x:v>
      </x:c>
      <x:c r="F8" s="23" t="str">
        <x:v>Teste sistemático</x:v>
      </x:c>
      <x:c r="G8" s="23" t="str">
        <x:v>Avaliação e depuração</x:v>
      </x:c>
      <x:c r="H8" s="23" t="str">
        <x:v>C</x:v>
      </x:c>
      <x:c r="I8" s="23" t="str">
        <x:v>O registro mostra teste de diferentes possibilidades até encontrar um caminho considerado adequado.</x:v>
      </x:c>
    </x:row>
    <x:row r="9">
      <x:c r="A9" s="23" t="str">
        <x:v>Chaves do Cofre</x:v>
      </x:c>
      <x:c r="B9" s="23" t="str">
        <x:v>A002</x:v>
      </x:c>
      <x:c r="C9" s="23" t="str">
        <x:v>Maryana S.S</x:v>
      </x:c>
      <x:c r="D9" s="23" t="str">
        <x:v>Q4</x:v>
      </x:c>
      <x:c r="E9" s="23" t="str">
        <x:v>'Testei CADA círculo...'</x:v>
      </x:c>
      <x:c r="F9" s="23" t="str">
        <x:v>Análise por candidatos</x:v>
      </x:c>
      <x:c r="G9" s="23" t="str">
        <x:v>Decomposição</x:v>
      </x:c>
      <x:c r="H9" s="23" t="str">
        <x:v>P</x:v>
      </x:c>
      <x:c r="I9" s="23" t="str">
        <x:v>Há indício de tratamento separado de diferentes círculos/candidatos, mas a divisão do problema em partes não é detalhada.</x:v>
      </x:c>
    </x:row>
    <x:row r="10">
      <x:c r="A10" s="23" t="str">
        <x:v>Chaves do Cofre</x:v>
      </x:c>
      <x:c r="B10" s="23" t="str">
        <x:v>A002</x:v>
      </x:c>
      <x:c r="C10" s="23" t="str">
        <x:v>Maryana S.S</x:v>
      </x:c>
      <x:c r="D10" s="23" t="str">
        <x:v>Q5</x:v>
      </x:c>
      <x:c r="E10" s="23" t="str">
        <x:v>Testando todos os outros CAMINHOS 'Possíveis'</x:v>
      </x:c>
      <x:c r="F10" s="23" t="str">
        <x:v>Comparação de alternativas</x:v>
      </x:c>
      <x:c r="G10" s="23" t="str">
        <x:v>Avaliação e depuração</x:v>
      </x:c>
      <x:c r="H10" s="23" t="str">
        <x:v>C</x:v>
      </x:c>
      <x:c r="I10" s="23" t="str">
        <x:v>A resposta explicita comparação com outros caminhos possíveis.</x:v>
      </x:c>
    </x:row>
    <x:row r="11">
      <x:c r="A11" s="23" t="str">
        <x:v>Chaves do Cofre</x:v>
      </x:c>
      <x:c r="B11" s="23" t="str">
        <x:v>A003</x:v>
      </x:c>
      <x:c r="C11" s="23" t="str"/>
      <x:c r="D11" s="23" t="str">
        <x:v>Q2</x:v>
      </x:c>
      <x:c r="E11" s="23" t="str">
        <x:v>triângulo → estrela → lua crescente → estrela → GG → chave</x:v>
      </x:c>
      <x:c r="F11" s="23" t="str">
        <x:v>Sequência ordenada</x:v>
      </x:c>
      <x:c r="G11" s="23" t="str">
        <x:v>Pensamento algorítmico</x:v>
      </x:c>
      <x:c r="H11" s="23" t="str">
        <x:v>C</x:v>
      </x:c>
      <x:c r="I11" s="23" t="str">
        <x:v>A resposta apresenta um percurso ordenado até a chave.</x:v>
      </x:c>
    </x:row>
    <x:row r="12">
      <x:c r="A12" s="23" t="str">
        <x:v>Chaves do Cofre</x:v>
      </x:c>
      <x:c r="B12" s="23" t="str">
        <x:v>A003</x:v>
      </x:c>
      <x:c r="C12" s="23" t="str"/>
      <x:c r="D12" s="23" t="str">
        <x:v>Q5</x:v>
      </x:c>
      <x:c r="E12" s="23" t="str">
        <x:v>PORQUE NÃO TICHA OUTRA</x:v>
      </x:c>
      <x:c r="F12" s="23" t="str">
        <x:v>Eliminação de alternativas</x:v>
      </x:c>
      <x:c r="G12" s="23" t="str">
        <x:v>Avaliação e depuração</x:v>
      </x:c>
      <x:c r="H12" s="23" t="str">
        <x:v>P</x:v>
      </x:c>
      <x:c r="I12" s="23" t="str">
        <x:v>A frase sugere exclusão de alternativas, mas não registra quais foram testadas ou como foram descartadas.</x:v>
      </x:c>
    </x:row>
    <x:row r="13">
      <x:c r="A13" s="23" t="str">
        <x:v>Chaves do Cofre</x:v>
      </x:c>
      <x:c r="B13" s="23" t="str">
        <x:v>A004</x:v>
      </x:c>
      <x:c r="C13" s="23" t="str">
        <x:v>Nicolas</x:v>
      </x:c>
      <x:c r="D13" s="23" t="str">
        <x:v>Q2</x:v>
      </x:c>
      <x:c r="E13" s="23" t="str">
        <x:v>diamante → seta → coração → seta → chave</x:v>
      </x:c>
      <x:c r="F13" s="23" t="str">
        <x:v>Sequência ordenada</x:v>
      </x:c>
      <x:c r="G13" s="23" t="str">
        <x:v>Pensamento algorítmico</x:v>
      </x:c>
      <x:c r="H13" s="23" t="str">
        <x:v>C</x:v>
      </x:c>
      <x:c r="I13" s="23" t="str">
        <x:v>Há registro de um percurso em ordem até a chave.</x:v>
      </x:c>
    </x:row>
    <x:row r="14">
      <x:c r="A14" s="23" t="str">
        <x:v>Chaves do Cofre</x:v>
      </x:c>
      <x:c r="B14" s="23" t="str">
        <x:v>A004</x:v>
      </x:c>
      <x:c r="C14" s="23" t="str">
        <x:v>Nicolas</x:v>
      </x:c>
      <x:c r="D14" s="23" t="str">
        <x:v>Q5</x:v>
      </x:c>
      <x:c r="E14" s="23" t="str">
        <x:v>PORQUE EU CONTEI</x:v>
      </x:c>
      <x:c r="F14" s="23" t="str">
        <x:v>Contagem para verificação</x:v>
      </x:c>
      <x:c r="G14" s="23" t="str">
        <x:v>Avaliação e depuração</x:v>
      </x:c>
      <x:c r="H14" s="23" t="str">
        <x:v>P</x:v>
      </x:c>
      <x:c r="I14" s="23" t="str">
        <x:v>A contagem indica uma tentativa de verificação, porém o registro não esclarece o que foi contado nem como houve comparação.</x:v>
      </x:c>
    </x:row>
    <x:row r="15">
      <x:c r="A15" s="23" t="str">
        <x:v>Chaves do Cofre</x:v>
      </x:c>
      <x:c r="B15" s="23" t="str">
        <x:v>A004</x:v>
      </x:c>
      <x:c r="C15" s="23" t="str">
        <x:v>Nicolas</x:v>
      </x:c>
      <x:c r="D15" s="23" t="str">
        <x:v>Q6</x:v>
      </x:c>
      <x:c r="E15" s="23" t="str">
        <x:v>CHEGAR COM UM NUMERO MENOR</x:v>
      </x:c>
      <x:c r="F15" s="23" t="str">
        <x:v>Foco em critério relevante</x:v>
      </x:c>
      <x:c r="G15" s="23" t="str">
        <x:v>Abstração</x:v>
      </x:c>
      <x:c r="H15" s="23" t="str">
        <x:v>P</x:v>
      </x:c>
      <x:c r="I15" s="23" t="str">
        <x:v>O estudante destaca a minimização do número como aspecto relevante, mas não explicita como esse critério foi aplicado.</x:v>
      </x:c>
    </x:row>
    <x:row r="16">
      <x:c r="A16" s="23" t="str">
        <x:v>Chaves do Cofre</x:v>
      </x:c>
      <x:c r="B16" s="23" t="str">
        <x:v>A005</x:v>
      </x:c>
      <x:c r="C16" s="23" t="str">
        <x:v>Erick Reuer</x:v>
      </x:c>
      <x:c r="D16" s="23" t="str">
        <x:v>Q2</x:v>
      </x:c>
      <x:c r="E16" s="23" t="str">
        <x:v>círculo → hexágono → triângulo invertido → estrela; grade com setas</x:v>
      </x:c>
      <x:c r="F16" s="23" t="str">
        <x:v>Sequência e representação de caminho</x:v>
      </x:c>
      <x:c r="G16" s="23" t="str">
        <x:v>Pensamento algorítmico</x:v>
      </x:c>
      <x:c r="H16" s="23" t="str">
        <x:v>C</x:v>
      </x:c>
      <x:c r="I16" s="23" t="str">
        <x:v>A sequência e as setas representam uma ordenação do percurso.</x:v>
      </x:c>
    </x:row>
    <x:row r="17">
      <x:c r="A17" s="23" t="str">
        <x:v>Chaves do Cofre</x:v>
      </x:c>
      <x:c r="B17" s="23" t="str">
        <x:v>A005</x:v>
      </x:c>
      <x:c r="C17" s="23" t="str">
        <x:v>Erick Reuer</x:v>
      </x:c>
      <x:c r="D17" s="23" t="str">
        <x:v>Q4</x:v>
      </x:c>
      <x:c r="E17" s="23" t="str">
        <x:v>Sim; representação alternativa com figuras</x:v>
      </x:c>
      <x:c r="F17" s="23" t="str">
        <x:v>Teste de alternativa</x:v>
      </x:c>
      <x:c r="G17" s="23" t="str">
        <x:v>Avaliação e depuração</x:v>
      </x:c>
      <x:c r="H17" s="23" t="str">
        <x:v>C</x:v>
      </x:c>
      <x:c r="I17" s="23" t="str">
        <x:v>A resposta afirma que houve teste de outro caminho e registra uma representação desse teste.</x:v>
      </x:c>
    </x:row>
    <x:row r="18">
      <x:c r="A18" s="23" t="str">
        <x:v>Chaves do Cofre</x:v>
      </x:c>
      <x:c r="B18" s="23" t="str">
        <x:v>A005</x:v>
      </x:c>
      <x:c r="C18" s="23" t="str">
        <x:v>Erick Reuer</x:v>
      </x:c>
      <x:c r="D18" s="23" t="str">
        <x:v>Q5</x:v>
      </x:c>
      <x:c r="E18" s="23" t="str">
        <x:v>contando para menor</x:v>
      </x:c>
      <x:c r="F18" s="23" t="str">
        <x:v>Comparação por contagem</x:v>
      </x:c>
      <x:c r="G18" s="23" t="str">
        <x:v>Avaliação e depuração</x:v>
      </x:c>
      <x:c r="H18" s="23" t="str">
        <x:v>C</x:v>
      </x:c>
      <x:c r="I18" s="23" t="str">
        <x:v>O registro explicita uso de contagem para selecionar o menor percurso.</x:v>
      </x:c>
    </x:row>
    <x:row r="19">
      <x:c r="A19" s="23" t="str">
        <x:v>Chaves do Cofre</x:v>
      </x:c>
      <x:c r="B19" s="23" t="str">
        <x:v>A005</x:v>
      </x:c>
      <x:c r="C19" s="23" t="str">
        <x:v>Erick Reuer</x:v>
      </x:c>
      <x:c r="D19" s="23" t="str">
        <x:v>Q6</x:v>
      </x:c>
      <x:c r="E19" s="23" t="str">
        <x:v>encontrar o ciclo mais rapido</x:v>
      </x:c>
      <x:c r="F19" s="23" t="str">
        <x:v>Foco em critério de otimização</x:v>
      </x:c>
      <x:c r="G19" s="23" t="str">
        <x:v>Abstração</x:v>
      </x:c>
      <x:c r="H19" s="23" t="str">
        <x:v>P</x:v>
      </x:c>
      <x:c r="I19" s="23" t="str">
        <x:v>Há foco em um critério de otimização, mas a expressão é curta e não mostra quais informações foram descartadas ou priorizadas.</x:v>
      </x:c>
    </x:row>
    <x:row r="20">
      <x:c r="A20" s="23" t="str">
        <x:v>Água para Todos</x:v>
      </x:c>
      <x:c r="B20" s="23" t="str">
        <x:v>A001</x:v>
      </x:c>
      <x:c r="C20" s="23" t="str">
        <x:v>Maryana S.S</x:v>
      </x:c>
      <x:c r="D20" s="23" t="str">
        <x:v>Q2</x:v>
      </x:c>
      <x:c r="E20" s="23" t="str">
        <x:v>Setas, marcações e números 1, 2, 3 associados às estradas; '...de acordo com as estradas andadas para não me perder.'</x:v>
      </x:c>
      <x:c r="F20" s="23" t="str">
        <x:v>Registro sequencial de distâncias</x:v>
      </x:c>
      <x:c r="G20" s="23" t="str">
        <x:v>Pensamento algorítmico</x:v>
      </x:c>
      <x:c r="H20" s="23" t="str">
        <x:v>C</x:v>
      </x:c>
      <x:c r="I20" s="23" t="str">
        <x:v>As marcações numéricas e setas organizam o acompanhamento dos deslocamentos no mapa.</x:v>
      </x:c>
    </x:row>
    <x:row r="21">
      <x:c r="A21" s="23" t="str">
        <x:v>Água para Todos</x:v>
      </x:c>
      <x:c r="B21" s="23" t="str">
        <x:v>A001</x:v>
      </x:c>
      <x:c r="C21" s="23" t="str">
        <x:v>Maryana S.S</x:v>
      </x:c>
      <x:c r="D21" s="23" t="str">
        <x:v>Q2</x:v>
      </x:c>
      <x:c r="E21" s="23" t="str">
        <x:v>Setas e números distribuídos por trechos do mapa</x:v>
      </x:c>
      <x:c r="F21" s="23" t="str">
        <x:v>Segmentação do percurso</x:v>
      </x:c>
      <x:c r="G21" s="23" t="str">
        <x:v>Decomposição</x:v>
      </x:c>
      <x:c r="H21" s="23" t="str">
        <x:v>P</x:v>
      </x:c>
      <x:c r="I21" s="23" t="str">
        <x:v>A representação divide o percurso em trechos/estradas, mas não há explicitação de uma decomposição planejada do problema.</x:v>
      </x:c>
    </x:row>
    <x:row r="22">
      <x:c r="A22" s="23" t="str">
        <x:v>Água para Todos</x:v>
      </x:c>
      <x:c r="B22" s="23" t="str">
        <x:v>A001</x:v>
      </x:c>
      <x:c r="C22" s="23" t="str">
        <x:v>Maryana S.S</x:v>
      </x:c>
      <x:c r="D22" s="23" t="str">
        <x:v>Q2</x:v>
      </x:c>
      <x:c r="E22" s="23" t="str">
        <x:v>Números de acordo com as estradas andadas</x:v>
      </x:c>
      <x:c r="F22" s="23" t="str">
        <x:v>Seleção da distância como informação relevante</x:v>
      </x:c>
      <x:c r="G22" s="23" t="str">
        <x:v>Abstração</x:v>
      </x:c>
      <x:c r="H22" s="23" t="str">
        <x:v>C</x:v>
      </x:c>
      <x:c r="I22" s="23" t="str">
        <x:v>A estudante usa explicitamente o número de estradas percorridas como informação central para organizar a análise.</x:v>
      </x:c>
    </x:row>
    <x:row r="23">
      <x:c r="A23" s="23" t="str">
        <x:v>Água para Todos</x:v>
      </x:c>
      <x:c r="B23" s="23" t="str">
        <x:v>A001</x:v>
      </x:c>
      <x:c r="C23" s="23" t="str">
        <x:v>Maryana S.S</x:v>
      </x:c>
      <x:c r="D23" s="23" t="str">
        <x:v>Q6</x:v>
      </x:c>
      <x:c r="E23" s="23" t="str">
        <x:v>A parte mais difícil foi observar com mais cuidado o número de estradas andadas por cada morador.</x:v>
      </x:c>
      <x:c r="F23" s="23" t="str">
        <x:v>Foco na métrica do problema</x:v>
      </x:c>
      <x:c r="G23" s="23" t="str">
        <x:v>Abstração</x:v>
      </x:c>
      <x:c r="H23" s="23" t="str">
        <x:v>C</x:v>
      </x:c>
      <x:c r="I23" s="23" t="str">
        <x:v>O registro identifica a quantidade de estradas como atributo relevante para a resolução.</x:v>
      </x:c>
    </x:row>
    <x:row r="24">
      <x:c r="A24" s="23" t="str">
        <x:v>Água para Todos</x:v>
      </x:c>
      <x:c r="B24" s="23" t="str">
        <x:v>A002</x:v>
      </x:c>
      <x:c r="C24" s="23" t="str">
        <x:v>Laura R</x:v>
      </x:c>
      <x:c r="D24" s="23" t="str">
        <x:v>Q2</x:v>
      </x:c>
      <x:c r="E24" s="23" t="str">
        <x:v>Nó 4 circulado; caminhos traçados do 4 para os demais nós, com um ou dois segmentos.</x:v>
      </x:c>
      <x:c r="F24" s="23" t="str">
        <x:v>Traçado sistemático de caminhos</x:v>
      </x:c>
      <x:c r="G24" s="23" t="str">
        <x:v>Pensamento algorítmico</x:v>
      </x:c>
      <x:c r="H24" s="23" t="str">
        <x:v>C</x:v>
      </x:c>
      <x:c r="I24" s="23" t="str">
        <x:v>A representação organiza percursos a partir de um ponto de referência e distingue comprimentos de caminho.</x:v>
      </x:c>
    </x:row>
    <x:row r="25">
      <x:c r="A25" s="23" t="str">
        <x:v>Água para Todos</x:v>
      </x:c>
      <x:c r="B25" s="23" t="str">
        <x:v>A002</x:v>
      </x:c>
      <x:c r="C25" s="23" t="str">
        <x:v>Laura R</x:v>
      </x:c>
      <x:c r="D25" s="23" t="str">
        <x:v>Q2</x:v>
      </x:c>
      <x:c r="E25" s="23" t="str">
        <x:v>Caminhos do nó 4 analisados separadamente para diferentes nós.</x:v>
      </x:c>
      <x:c r="F25" s="23" t="str">
        <x:v>Análise por destino</x:v>
      </x:c>
      <x:c r="G25" s="23" t="str">
        <x:v>Decomposição</x:v>
      </x:c>
      <x:c r="H25" s="23" t="str">
        <x:v>C</x:v>
      </x:c>
      <x:c r="I25" s="23" t="str">
        <x:v>O problema é tratado por partes, examinando separadamente os caminhos entre o ponto 4 e diferentes vilas.</x:v>
      </x:c>
    </x:row>
    <x:row r="26">
      <x:c r="A26" s="23" t="str">
        <x:v>Água para Todos</x:v>
      </x:c>
      <x:c r="B26" s="23" t="str">
        <x:v>A002</x:v>
      </x:c>
      <x:c r="C26" s="23" t="str">
        <x:v>Laura R</x:v>
      </x:c>
      <x:c r="D26" s="23" t="str">
        <x:v>Q2</x:v>
      </x:c>
      <x:c r="E26" s="23" t="str">
        <x:v>Distinção entre caminhos de um e dois segmentos.</x:v>
      </x:c>
      <x:c r="F26" s="23" t="str">
        <x:v>Seleção da distância relevante</x:v>
      </x:c>
      <x:c r="G26" s="23" t="str">
        <x:v>Abstração</x:v>
      </x:c>
      <x:c r="H26" s="23" t="str">
        <x:v>C</x:v>
      </x:c>
      <x:c r="I26" s="23" t="str">
        <x:v>A análise se concentra no número de segmentos/estradas, atributo diretamente relacionado ao critério da atividade.</x:v>
      </x:c>
    </x:row>
    <x:row r="27">
      <x:c r="A27" s="23" t="str">
        <x:v>Água para Todos</x:v>
      </x:c>
      <x:c r="B27" s="23" t="str">
        <x:v>A002</x:v>
      </x:c>
      <x:c r="C27" s="23" t="str">
        <x:v>Laura R</x:v>
      </x:c>
      <x:c r="D27" s="23" t="str">
        <x:v>Q6</x:v>
      </x:c>
      <x:c r="E27" s="23" t="str">
        <x:v>Tentar achar o centro que possibilite até 2 caminhos.</x:v>
      </x:c>
      <x:c r="F27" s="23" t="str">
        <x:v>Foco no limite de distância</x:v>
      </x:c>
      <x:c r="G27" s="23" t="str">
        <x:v>Abstração</x:v>
      </x:c>
      <x:c r="H27" s="23" t="str">
        <x:v>C</x:v>
      </x:c>
      <x:c r="I27" s="23" t="str">
        <x:v>A resposta explicita o critério de até duas estradas como elemento central da resolução.</x:v>
      </x:c>
    </x:row>
    <x:row r="28">
      <x:c r="A28" s="23" t="str">
        <x:v>Água para Todos</x:v>
      </x:c>
      <x:c r="B28" s="23" t="str">
        <x:v>A003</x:v>
      </x:c>
      <x:c r="C28" s="23" t="str">
        <x:v>BIANCA MACHADO</x:v>
      </x:c>
      <x:c r="D28" s="23" t="str">
        <x:v>Q2</x:v>
      </x:c>
      <x:c r="E28" s="23" t="str">
        <x:v>Pontos 1, 2, 3 e 4 considerados; '1 e 2 são pouco..., 4 é demais. O único que sobra é 3'.</x:v>
      </x:c>
      <x:c r="F28" s="23" t="str">
        <x:v>Eliminação em sequência</x:v>
      </x:c>
      <x:c r="G28" s="23" t="str">
        <x:v>Pensamento algorítmico</x:v>
      </x:c>
      <x:c r="H28" s="23" t="str">
        <x:v>P</x:v>
      </x:c>
      <x:c r="I28" s="23" t="str">
        <x:v>Há uma sequência de eliminação de candidatos, mas o procedimento não é descrito de forma suficiente para caracterizar um algoritmo completo.</x:v>
      </x:c>
    </x:row>
    <x:row r="29">
      <x:c r="A29" s="23" t="str">
        <x:v>Água para Todos</x:v>
      </x:c>
      <x:c r="B29" s="23" t="str">
        <x:v>A003</x:v>
      </x:c>
      <x:c r="C29" s="23" t="str">
        <x:v>BIANCA MACHADO</x:v>
      </x:c>
      <x:c r="D29" s="23" t="str">
        <x:v>Q2</x:v>
      </x:c>
      <x:c r="E29" s="23" t="str">
        <x:v>Avaliação individual de 1, 2, 4 antes de permanecer com 3.</x:v>
      </x:c>
      <x:c r="F29" s="23" t="str">
        <x:v>Análise por candidatos</x:v>
      </x:c>
      <x:c r="G29" s="23" t="str">
        <x:v>Decomposição</x:v>
      </x:c>
      <x:c r="H29" s="23" t="str">
        <x:v>C</x:v>
      </x:c>
      <x:c r="I29" s="23" t="str">
        <x:v>Os pontos candidatos são tratados separadamente antes da escolha final.</x:v>
      </x:c>
    </x:row>
    <x:row r="30">
      <x:c r="A30" s="23" t="str">
        <x:v>Água para Todos</x:v>
      </x:c>
      <x:c r="B30" s="23" t="str">
        <x:v>A003</x:v>
      </x:c>
      <x:c r="C30" s="23" t="str">
        <x:v>BIANCA MACHADO</x:v>
      </x:c>
      <x:c r="D30" s="23" t="str">
        <x:v>Q2</x:v>
      </x:c>
      <x:c r="E30" s="23" t="str">
        <x:v>'1 e 2 são pouco... 4 é demais'</x:v>
      </x:c>
      <x:c r="F30" s="23" t="str">
        <x:v>Uso de critério seletivo</x:v>
      </x:c>
      <x:c r="G30" s="23" t="str">
        <x:v>Abstração</x:v>
      </x:c>
      <x:c r="H30" s="23" t="str">
        <x:v>P</x:v>
      </x:c>
      <x:c r="I30" s="23" t="str">
        <x:v>Há um critério de seleção implícito, porém 'pouco' e 'demais' não explicitam qual medida foi usada.</x:v>
      </x:c>
    </x:row>
    <x:row r="31">
      <x:c r="A31" s="23" t="str">
        <x:v>Água para Todos</x:v>
      </x:c>
      <x:c r="B31" s="23" t="str">
        <x:v>A003</x:v>
      </x:c>
      <x:c r="C31" s="23" t="str">
        <x:v>BIANCA MACHADO</x:v>
      </x:c>
      <x:c r="D31" s="23" t="str">
        <x:v>Q2</x:v>
      </x:c>
      <x:c r="E31" s="23" t="str">
        <x:v>Alternativas 1, 2 e 4 são descartadas; 3 permanece.</x:v>
      </x:c>
      <x:c r="F31" s="23" t="str">
        <x:v>Eliminação de alternativas</x:v>
      </x:c>
      <x:c r="G31" s="23" t="str">
        <x:v>Avaliação e depuração</x:v>
      </x:c>
      <x:c r="H31" s="23" t="str">
        <x:v>C</x:v>
      </x:c>
      <x:c r="I31" s="23" t="str">
        <x:v>A resposta registra comparação e descarte de diferentes possibilidades antes da escolha final.</x:v>
      </x:c>
    </x:row>
    <x:row r="32">
      <x:c r="A32" s="23" t="str">
        <x:v>Água para Todos</x:v>
      </x:c>
      <x:c r="B32" s="23" t="str">
        <x:v>A004</x:v>
      </x:c>
      <x:c r="C32" s="23" t="str">
        <x:v>BERTHA BOEKT</x:v>
      </x:c>
      <x:c r="D32" s="23" t="str">
        <x:v>Q2</x:v>
      </x:c>
      <x:c r="E32" s="23" t="str">
        <x:v>'Analisei os caminhos, e a menor distância de cada centro e marquei no mapa.'</x:v>
      </x:c>
      <x:c r="F32" s="23" t="str">
        <x:v>Procedimento sistemático</x:v>
      </x:c>
      <x:c r="G32" s="23" t="str">
        <x:v>Pensamento algorítmico</x:v>
      </x:c>
      <x:c r="H32" s="23" t="str">
        <x:v>C</x:v>
      </x:c>
      <x:c r="I32" s="23" t="str">
        <x:v>A estudante descreve um procedimento: analisar caminhos, observar menor distância e registrar no mapa.</x:v>
      </x:c>
    </x:row>
    <x:row r="33">
      <x:c r="A33" s="23" t="str">
        <x:v>Água para Todos</x:v>
      </x:c>
      <x:c r="B33" s="23" t="str">
        <x:v>A004</x:v>
      </x:c>
      <x:c r="C33" s="23" t="str">
        <x:v>BERTHA BOEKT</x:v>
      </x:c>
      <x:c r="D33" s="23" t="str">
        <x:v>Q2</x:v>
      </x:c>
      <x:c r="E33" s="23" t="str">
        <x:v>Análise da menor distância de cada centro.</x:v>
      </x:c>
      <x:c r="F33" s="23" t="str">
        <x:v>Análise por centros</x:v>
      </x:c>
      <x:c r="G33" s="23" t="str">
        <x:v>Decomposição</x:v>
      </x:c>
      <x:c r="H33" s="23" t="str">
        <x:v>C</x:v>
      </x:c>
      <x:c r="I33" s="23" t="str">
        <x:v>Cada centro é considerado separadamente dentro do problema maior.</x:v>
      </x:c>
    </x:row>
    <x:row r="34">
      <x:c r="A34" s="23" t="str">
        <x:v>Água para Todos</x:v>
      </x:c>
      <x:c r="B34" s="23" t="str">
        <x:v>A004</x:v>
      </x:c>
      <x:c r="C34" s="23" t="str">
        <x:v>BERTHA BOEKT</x:v>
      </x:c>
      <x:c r="D34" s="23" t="str">
        <x:v>Q2</x:v>
      </x:c>
      <x:c r="E34" s="23" t="str">
        <x:v>Menor distância de cada centro.</x:v>
      </x:c>
      <x:c r="F34" s="23" t="str">
        <x:v>Seleção da distância como critério</x:v>
      </x:c>
      <x:c r="G34" s="23" t="str">
        <x:v>Abstração</x:v>
      </x:c>
      <x:c r="H34" s="23" t="str">
        <x:v>C</x:v>
      </x:c>
      <x:c r="I34" s="23" t="str">
        <x:v>A estudante seleciona a distância mínima como informação relevante.</x:v>
      </x:c>
    </x:row>
    <x:row r="35">
      <x:c r="A35" s="23" t="str">
        <x:v>Água para Todos</x:v>
      </x:c>
      <x:c r="B35" s="23" t="str">
        <x:v>A004</x:v>
      </x:c>
      <x:c r="C35" s="23" t="str">
        <x:v>BERTHA BOEKT</x:v>
      </x:c>
      <x:c r="D35" s="23" t="str">
        <x:v>Q4</x:v>
      </x:c>
      <x:c r="E35" s="23" t="str">
        <x:v>Sim; 'não resolvia porque as vilas ficavam a mais de duas estradas do centro de distribuição.'</x:v>
      </x:c>
      <x:c r="F35" s="23" t="str">
        <x:v>Teste e identificação de falha</x:v>
      </x:c>
      <x:c r="G35" s="23" t="str">
        <x:v>Avaliação e depuração</x:v>
      </x:c>
      <x:c r="H35" s="23" t="str">
        <x:v>C</x:v>
      </x:c>
      <x:c r="I35" s="23" t="str">
        <x:v>Há teste de uma alternativa e explicitação do motivo pelo qual ela não atende ao critério.</x:v>
      </x:c>
    </x:row>
    <x:row r="36">
      <x:c r="A36" s="23" t="str">
        <x:v>Água para Todos</x:v>
      </x:c>
      <x:c r="B36" s="23" t="str">
        <x:v>A004</x:v>
      </x:c>
      <x:c r="C36" s="23" t="str">
        <x:v>BERTHA BOEKT</x:v>
      </x:c>
      <x:c r="D36" s="23" t="str">
        <x:v>Q5</x:v>
      </x:c>
      <x:c r="E36" s="23" t="str">
        <x:v>'Verifiquei analisando cada caminho/centro no mapa'</x:v>
      </x:c>
      <x:c r="F36" s="23" t="str">
        <x:v>Verificação de solução</x:v>
      </x:c>
      <x:c r="G36" s="23" t="str">
        <x:v>Avaliação e depuração</x:v>
      </x:c>
      <x:c r="H36" s="23" t="str">
        <x:v>C</x:v>
      </x:c>
      <x:c r="I36" s="23" t="str">
        <x:v>A resposta descreve uma etapa explícita de verificação.</x:v>
      </x:c>
    </x:row>
    <x:row r="37">
      <x:c r="A37" s="23" t="str">
        <x:v>Água para Todos</x:v>
      </x:c>
      <x:c r="B37" s="23" t="str">
        <x:v>A004</x:v>
      </x:c>
      <x:c r="C37" s="23" t="str">
        <x:v>BERTHA BOEKT</x:v>
      </x:c>
      <x:c r="D37" s="23" t="str">
        <x:v>Q5</x:v>
      </x:c>
      <x:c r="E37" s="23" t="str">
        <x:v>'cada caminho/centro'</x:v>
      </x:c>
      <x:c r="F37" s="23" t="str">
        <x:v>Verificação por partes</x:v>
      </x:c>
      <x:c r="G37" s="23" t="str">
        <x:v>Decomposição</x:v>
      </x:c>
      <x:c r="H37" s="23" t="str">
        <x:v>C</x:v>
      </x:c>
      <x:c r="I37" s="23" t="str">
        <x:v>A verificação é realizada considerando separadamente caminhos e centros.</x:v>
      </x:c>
    </x:row>
    <x:row r="38">
      <x:c r="A38" s="23" t="str">
        <x:v>Água para Todos</x:v>
      </x:c>
      <x:c r="B38" s="23" t="str">
        <x:v>A005</x:v>
      </x:c>
      <x:c r="C38" s="23" t="str">
        <x:v>Papilla Gomes Fracari</x:v>
      </x:c>
      <x:c r="D38" s="23" t="str">
        <x:v>Q2</x:v>
      </x:c>
      <x:c r="E38" s="23" t="str">
        <x:v>Analisou estradas que ligam vilas aos centros e verificou quais vilas ficariam a mais de duas estradas.</x:v>
      </x:c>
      <x:c r="F38" s="23" t="str">
        <x:v>Procedimento sistemático de análise</x:v>
      </x:c>
      <x:c r="G38" s="23" t="str">
        <x:v>Pensamento algorítmico</x:v>
      </x:c>
      <x:c r="H38" s="23" t="str">
        <x:v>C</x:v>
      </x:c>
      <x:c r="I38" s="23" t="str">
        <x:v>A resposta descreve uma sequência de análise e verificação aplicada às conexões do mapa.</x:v>
      </x:c>
    </x:row>
    <x:row r="39">
      <x:c r="A39" s="23" t="str">
        <x:v>Água para Todos</x:v>
      </x:c>
      <x:c r="B39" s="23" t="str">
        <x:v>A005</x:v>
      </x:c>
      <x:c r="C39" s="23" t="str">
        <x:v>Papilla Gomes Fracari</x:v>
      </x:c>
      <x:c r="D39" s="23" t="str">
        <x:v>Q2</x:v>
      </x:c>
      <x:c r="E39" s="23" t="str">
        <x:v>Análise das ligações das vilas com os centros.</x:v>
      </x:c>
      <x:c r="F39" s="23" t="str">
        <x:v>Análise por vilas/rotas</x:v>
      </x:c>
      <x:c r="G39" s="23" t="str">
        <x:v>Decomposição</x:v>
      </x:c>
      <x:c r="H39" s="23" t="str">
        <x:v>C</x:v>
      </x:c>
      <x:c r="I39" s="23" t="str">
        <x:v>A resolução considera separadamente vilas e seus caminhos até centros.</x:v>
      </x:c>
    </x:row>
    <x:row r="40">
      <x:c r="A40" s="23" t="str">
        <x:v>Água para Todos</x:v>
      </x:c>
      <x:c r="B40" s="23" t="str">
        <x:v>A005</x:v>
      </x:c>
      <x:c r="C40" s="23" t="str">
        <x:v>Papilla Gomes Fracari</x:v>
      </x:c>
      <x:c r="D40" s="23" t="str">
        <x:v>Q2</x:v>
      </x:c>
      <x:c r="E40" s="23" t="str">
        <x:v>Critério de mais de duas estradas.</x:v>
      </x:c>
      <x:c r="F40" s="23" t="str">
        <x:v>Seleção do limite de distância</x:v>
      </x:c>
      <x:c r="G40" s="23" t="str">
        <x:v>Abstração</x:v>
      </x:c>
      <x:c r="H40" s="23" t="str">
        <x:v>C</x:v>
      </x:c>
      <x:c r="I40" s="23" t="str">
        <x:v>A estudante focaliza diretamente a restrição relevante do problema.</x:v>
      </x:c>
    </x:row>
    <x:row r="41">
      <x:c r="A41" s="23" t="str">
        <x:v>Água para Todos</x:v>
      </x:c>
      <x:c r="B41" s="23" t="str">
        <x:v>A005</x:v>
      </x:c>
      <x:c r="C41" s="23" t="str">
        <x:v>Papilla Gomes Fracari</x:v>
      </x:c>
      <x:c r="D41" s="23" t="str">
        <x:v>Q2</x:v>
      </x:c>
      <x:c r="E41" s="23" t="str">
        <x:v>'Verifiquei quais vilas estariam a mais de duas estradas de distância.'</x:v>
      </x:c>
      <x:c r="F41" s="23" t="str">
        <x:v>Verificação de restrição</x:v>
      </x:c>
      <x:c r="G41" s="23" t="str">
        <x:v>Avaliação e depuração</x:v>
      </x:c>
      <x:c r="H41" s="23" t="str">
        <x:v>C</x:v>
      </x:c>
      <x:c r="I41" s="23" t="str">
        <x:v>O registro explicita uma etapa de verificação das alternativas em relação ao limite estabelecido.</x:v>
      </x:c>
    </x:row>
    <x:row r="42">
      <x:c r="A42" s="23" t="str">
        <x:v>Água para Todos</x:v>
      </x:c>
      <x:c r="B42" s="23" t="str">
        <x:v>A005</x:v>
      </x:c>
      <x:c r="C42" s="23" t="str">
        <x:v>Papilla Gomes Fracari</x:v>
      </x:c>
      <x:c r="D42" s="23" t="str">
        <x:v>Q5</x:v>
      </x:c>
      <x:c r="E42" s="23" t="str">
        <x:v>'Partindo de cada vila, o menor caminho até um dos centros... no máximo duas estradas.'</x:v>
      </x:c>
      <x:c r="F42" s="23" t="str">
        <x:v>Aplicação sistemática de procedimento</x:v>
      </x:c>
      <x:c r="G42" s="23" t="str">
        <x:v>Pensamento algorítmico</x:v>
      </x:c>
      <x:c r="H42" s="23" t="str">
        <x:v>C</x:v>
      </x:c>
      <x:c r="I42" s="23" t="str">
        <x:v>A estudante descreve um procedimento repetível: partir de cada vila e buscar o menor caminho.</x:v>
      </x:c>
    </x:row>
    <x:row r="43">
      <x:c r="A43" s="23" t="str">
        <x:v>Água para Todos</x:v>
      </x:c>
      <x:c r="B43" s="23" t="str">
        <x:v>A005</x:v>
      </x:c>
      <x:c r="C43" s="23" t="str">
        <x:v>Papilla Gomes Fracari</x:v>
      </x:c>
      <x:c r="D43" s="23" t="str">
        <x:v>Q5</x:v>
      </x:c>
      <x:c r="E43" s="23" t="str">
        <x:v>'Partindo de cada vila...'</x:v>
      </x:c>
      <x:c r="F43" s="23" t="str">
        <x:v>Análise por vila</x:v>
      </x:c>
      <x:c r="G43" s="23" t="str">
        <x:v>Decomposição</x:v>
      </x:c>
      <x:c r="H43" s="23" t="str">
        <x:v>C</x:v>
      </x:c>
      <x:c r="I43" s="23" t="str">
        <x:v>Cada vila é tratada como uma subparte da verificação global.</x:v>
      </x:c>
    </x:row>
    <x:row r="44">
      <x:c r="A44" s="23" t="str">
        <x:v>Água para Todos</x:v>
      </x:c>
      <x:c r="B44" s="23" t="str">
        <x:v>A005</x:v>
      </x:c>
      <x:c r="C44" s="23" t="str">
        <x:v>Papilla Gomes Fracari</x:v>
      </x:c>
      <x:c r="D44" s="23" t="str">
        <x:v>Q5</x:v>
      </x:c>
      <x:c r="E44" s="23" t="str">
        <x:v>'menor caminho' e 'no máximo duas estradas'</x:v>
      </x:c>
      <x:c r="F44" s="23" t="str">
        <x:v>Foco em critérios relevantes</x:v>
      </x:c>
      <x:c r="G44" s="23" t="str">
        <x:v>Abstração</x:v>
      </x:c>
      <x:c r="H44" s="23" t="str">
        <x:v>C</x:v>
      </x:c>
      <x:c r="I44" s="23" t="str">
        <x:v>A resposta seleciona explicitamente distância mínima e limite de duas estradas.</x:v>
      </x:c>
    </x:row>
    <x:row r="45">
      <x:c r="A45" s="23" t="str">
        <x:v>Água para Todos</x:v>
      </x:c>
      <x:c r="B45" s="23" t="str">
        <x:v>A005</x:v>
      </x:c>
      <x:c r="C45" s="23" t="str">
        <x:v>Papilla Gomes Fracari</x:v>
      </x:c>
      <x:c r="D45" s="23" t="str">
        <x:v>Q5</x:v>
      </x:c>
      <x:c r="E45" s="23" t="str">
        <x:v>'todas as vilas conseguem chegar... no máximo duas estradas'</x:v>
      </x:c>
      <x:c r="F45" s="23" t="str">
        <x:v>Verificação da solução</x:v>
      </x:c>
      <x:c r="G45" s="23" t="str">
        <x:v>Avaliação e depuração</x:v>
      </x:c>
      <x:c r="H45" s="23" t="str">
        <x:v>C</x:v>
      </x:c>
      <x:c r="I45" s="23" t="str">
        <x:v>Há verificação explícita de que a solução atende ao critério para todas as vilas.</x:v>
      </x:c>
    </x:row>
    <x:row r="46">
      <x:c r="A46" s="23" t="str">
        <x:v>Água para Todos</x:v>
      </x:c>
      <x:c r="B46" s="23" t="str">
        <x:v>A005</x:v>
      </x:c>
      <x:c r="C46" s="23" t="str">
        <x:v>Papilla Gomes Fracari</x:v>
      </x:c>
      <x:c r="D46" s="23" t="str">
        <x:v>Q7</x:v>
      </x:c>
      <x:c r="E46" s="23" t="str">
        <x:v>Mudou após conversar com colega; percebeu que o ponto 4 era melhor.</x:v>
      </x:c>
      <x:c r="F46" s="23" t="str">
        <x:v>Revisão após comparação</x:v>
      </x:c>
      <x:c r="G46" s="23" t="str">
        <x:v>Avaliação e depuração</x:v>
      </x:c>
      <x:c r="H46" s="23" t="str">
        <x:v>C</x:v>
      </x:c>
      <x:c r="I46" s="23" t="str">
        <x:v>A resposta registra mudança de estratégia após interação e uma nova avaliação da alternativa escolhida.</x:v>
      </x:c>
    </x:row>
  </x:sheetData>
  <x:conditionalFormatting sqref="H2:H46">
    <x:cfRule type="expression" dxfId="0" priority="1">
      <x:formula>H2="C"</x:formula>
    </x:cfRule>
    <x:cfRule type="expression" dxfId="1" priority="2">
      <x:formula>H2="P"</x:formula>
    </x:cfRule>
    <x:cfRule type="expression" dxfId="2" priority="3">
      <x:formula>H2="SE"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58" hidden="0" customWidth="1"/>
  </x:cols>
  <x:sheetData>
    <x:row r="1">
      <x:c r="A1" s="22" t="str">
        <x:v>Atividade</x:v>
      </x:c>
      <x:c r="B1" s="22" t="str">
        <x:v>Código</x:v>
      </x:c>
      <x:c r="C1" s="22" t="str">
        <x:v>Nome (revisão)</x:v>
      </x:c>
      <x:c r="D1" s="22" t="str">
        <x:v>PA</x:v>
      </x:c>
      <x:c r="E1" s="22" t="str">
        <x:v>DEC</x:v>
      </x:c>
      <x:c r="F1" s="22" t="str">
        <x:v>ABS</x:v>
      </x:c>
      <x:c r="G1" s="22" t="str">
        <x:v>AV/DEP</x:v>
      </x:c>
      <x:c r="H1" s="22" t="str">
        <x:v>PAD</x:v>
      </x:c>
      <x:c r="I1" s="22" t="str">
        <x:v>Síntese interpretativa</x:v>
      </x:c>
    </x:row>
    <x:row r="2">
      <x:c r="A2" s="23" t="str">
        <x:v>Chaves do Cofre</x:v>
      </x:c>
      <x:c r="B2" s="23" t="str">
        <x:v>A001</x:v>
      </x:c>
      <x:c r="C2" s="23" t="str">
        <x:v>Mª Luiza Fortes</x:v>
      </x:c>
      <x:c r="D2" s="23" t="str">
        <x:v>C</x:v>
      </x:c>
      <x:c r="E2" s="23" t="str">
        <x:v>SE</x:v>
      </x:c>
      <x:c r="F2" s="23" t="str">
        <x:v>SE</x:v>
      </x:c>
      <x:c r="G2" s="23" t="str">
        <x:v>C</x:v>
      </x:c>
      <x:c r="H2" s="23" t="str">
        <x:v>SE</x:v>
      </x:c>
      <x:c r="I2" s="23" t="str">
        <x:v>Sequência explícita e testes/revisões; não há registro suficiente de decomposição, abstração ou padrões.</x:v>
      </x:c>
    </x:row>
    <x:row r="3">
      <x:c r="A3" s="23" t="str">
        <x:v>Chaves do Cofre</x:v>
      </x:c>
      <x:c r="B3" s="23" t="str">
        <x:v>A002</x:v>
      </x:c>
      <x:c r="C3" s="23" t="str">
        <x:v>Maryana S.S</x:v>
      </x:c>
      <x:c r="D3" s="23" t="str">
        <x:v>C</x:v>
      </x:c>
      <x:c r="E3" s="23" t="str">
        <x:v>P</x:v>
      </x:c>
      <x:c r="F3" s="23" t="str">
        <x:v>SE</x:v>
      </x:c>
      <x:c r="G3" s="23" t="str">
        <x:v>C</x:v>
      </x:c>
      <x:c r="H3" s="23" t="str">
        <x:v>SE</x:v>
      </x:c>
      <x:c r="I3" s="23" t="str">
        <x:v>Procedimento sequencial e comparação sistemática de caminhos; decomposição aparece apenas como indício.</x:v>
      </x:c>
    </x:row>
    <x:row r="4">
      <x:c r="A4" s="23" t="str">
        <x:v>Chaves do Cofre</x:v>
      </x:c>
      <x:c r="B4" s="23" t="str">
        <x:v>A003</x:v>
      </x:c>
      <x:c r="C4" s="23" t="str"/>
      <x:c r="D4" s="23" t="str">
        <x:v>C</x:v>
      </x:c>
      <x:c r="E4" s="23" t="str">
        <x:v>SE</x:v>
      </x:c>
      <x:c r="F4" s="23" t="str">
        <x:v>SE</x:v>
      </x:c>
      <x:c r="G4" s="23" t="str">
        <x:v>P</x:v>
      </x:c>
      <x:c r="H4" s="23" t="str">
        <x:v>SE</x:v>
      </x:c>
      <x:c r="I4" s="23" t="str">
        <x:v>Sequência clara; eliminação de alternativas é mencionada sem detalhamento.</x:v>
      </x:c>
    </x:row>
    <x:row r="5">
      <x:c r="A5" s="23" t="str">
        <x:v>Chaves do Cofre</x:v>
      </x:c>
      <x:c r="B5" s="23" t="str">
        <x:v>A004</x:v>
      </x:c>
      <x:c r="C5" s="23" t="str">
        <x:v>Nicolas</x:v>
      </x:c>
      <x:c r="D5" s="23" t="str">
        <x:v>C</x:v>
      </x:c>
      <x:c r="E5" s="23" t="str">
        <x:v>SE</x:v>
      </x:c>
      <x:c r="F5" s="23" t="str">
        <x:v>P</x:v>
      </x:c>
      <x:c r="G5" s="23" t="str">
        <x:v>P</x:v>
      </x:c>
      <x:c r="H5" s="23" t="str">
        <x:v>SE</x:v>
      </x:c>
      <x:c r="I5" s="23" t="str">
        <x:v>Sequência clara; contagem e busca por número menor fornecem indícios de avaliação e abstração.</x:v>
      </x:c>
    </x:row>
    <x:row r="6">
      <x:c r="A6" s="23" t="str">
        <x:v>Chaves do Cofre</x:v>
      </x:c>
      <x:c r="B6" s="23" t="str">
        <x:v>A005</x:v>
      </x:c>
      <x:c r="C6" s="23" t="str">
        <x:v>Erick Reuer</x:v>
      </x:c>
      <x:c r="D6" s="23" t="str">
        <x:v>C</x:v>
      </x:c>
      <x:c r="E6" s="23" t="str">
        <x:v>SE</x:v>
      </x:c>
      <x:c r="F6" s="23" t="str">
        <x:v>P</x:v>
      </x:c>
      <x:c r="G6" s="23" t="str">
        <x:v>C</x:v>
      </x:c>
      <x:c r="H6" s="23" t="str">
        <x:v>SE</x:v>
      </x:c>
      <x:c r="I6" s="23" t="str">
        <x:v>Sequência e teste de alternativa claros; critério de otimização aparece de forma parcial.</x:v>
      </x:c>
    </x:row>
    <x:row r="7">
      <x:c r="A7" s="23" t="str">
        <x:v>Água para Todos</x:v>
      </x:c>
      <x:c r="B7" s="23" t="str">
        <x:v>A001</x:v>
      </x:c>
      <x:c r="C7" s="23" t="str">
        <x:v>Maryana S.S</x:v>
      </x:c>
      <x:c r="D7" s="23" t="str">
        <x:v>C</x:v>
      </x:c>
      <x:c r="E7" s="23" t="str">
        <x:v>P</x:v>
      </x:c>
      <x:c r="F7" s="23" t="str">
        <x:v>C</x:v>
      </x:c>
      <x:c r="G7" s="23" t="str">
        <x:v>SE</x:v>
      </x:c>
      <x:c r="H7" s="23" t="str">
        <x:v>SE</x:v>
      </x:c>
      <x:c r="I7" s="23" t="str">
        <x:v>Uso organizado de setas/números e foco explícito na quantidade de estradas; pouca evidência de teste/revisão.</x:v>
      </x:c>
    </x:row>
    <x:row r="8">
      <x:c r="A8" s="23" t="str">
        <x:v>Água para Todos</x:v>
      </x:c>
      <x:c r="B8" s="23" t="str">
        <x:v>A002</x:v>
      </x:c>
      <x:c r="C8" s="23" t="str">
        <x:v>Laura R</x:v>
      </x:c>
      <x:c r="D8" s="23" t="str">
        <x:v>C</x:v>
      </x:c>
      <x:c r="E8" s="23" t="str">
        <x:v>C</x:v>
      </x:c>
      <x:c r="F8" s="23" t="str">
        <x:v>C</x:v>
      </x:c>
      <x:c r="G8" s="23" t="str">
        <x:v>SE</x:v>
      </x:c>
      <x:c r="H8" s="23" t="str">
        <x:v>SE</x:v>
      </x:c>
      <x:c r="I8" s="23" t="str">
        <x:v>Análise sistemática de rotas por destino e pelo número de segmentos; sem registro de tentativa rejeitada.</x:v>
      </x:c>
    </x:row>
    <x:row r="9">
      <x:c r="A9" s="23" t="str">
        <x:v>Água para Todos</x:v>
      </x:c>
      <x:c r="B9" s="23" t="str">
        <x:v>A003</x:v>
      </x:c>
      <x:c r="C9" s="23" t="str">
        <x:v>BIANCA MACHADO</x:v>
      </x:c>
      <x:c r="D9" s="23" t="str">
        <x:v>P</x:v>
      </x:c>
      <x:c r="E9" s="23" t="str">
        <x:v>C</x:v>
      </x:c>
      <x:c r="F9" s="23" t="str">
        <x:v>P</x:v>
      </x:c>
      <x:c r="G9" s="23" t="str">
        <x:v>C</x:v>
      </x:c>
      <x:c r="H9" s="23" t="str">
        <x:v>SE</x:v>
      </x:c>
      <x:c r="I9" s="23" t="str">
        <x:v>Comparação individual de candidatos e eliminação explícita; critério de seleção permanece pouco explicitado.</x:v>
      </x:c>
    </x:row>
    <x:row r="10">
      <x:c r="A10" s="23" t="str">
        <x:v>Água para Todos</x:v>
      </x:c>
      <x:c r="B10" s="23" t="str">
        <x:v>A004</x:v>
      </x:c>
      <x:c r="C10" s="23" t="str">
        <x:v>BERTHA BOEKT</x:v>
      </x:c>
      <x:c r="D10" s="23" t="str">
        <x:v>C</x:v>
      </x:c>
      <x:c r="E10" s="23" t="str">
        <x:v>C</x:v>
      </x:c>
      <x:c r="F10" s="23" t="str">
        <x:v>C</x:v>
      </x:c>
      <x:c r="G10" s="23" t="str">
        <x:v>C</x:v>
      </x:c>
      <x:c r="H10" s="23" t="str">
        <x:v>SE</x:v>
      </x:c>
      <x:c r="I10" s="23" t="str">
        <x:v>Procedimento, análise por centros, foco na menor distância e teste de alternativa estão explicitados.</x:v>
      </x:c>
    </x:row>
    <x:row r="11">
      <x:c r="A11" s="23" t="str">
        <x:v>Água para Todos</x:v>
      </x:c>
      <x:c r="B11" s="23" t="str">
        <x:v>A005</x:v>
      </x:c>
      <x:c r="C11" s="23" t="str">
        <x:v>Papilla Gomes Fracari</x:v>
      </x:c>
      <x:c r="D11" s="23" t="str">
        <x:v>C</x:v>
      </x:c>
      <x:c r="E11" s="23" t="str">
        <x:v>C</x:v>
      </x:c>
      <x:c r="F11" s="23" t="str">
        <x:v>C</x:v>
      </x:c>
      <x:c r="G11" s="23" t="str">
        <x:v>C</x:v>
      </x:c>
      <x:c r="H11" s="23" t="str">
        <x:v>SE</x:v>
      </x:c>
      <x:c r="I11" s="23" t="str">
        <x:v>Há procedimento sistemático, análise por vilas, foco nas restrições e verificação/revisão explícitas.</x:v>
      </x:c>
    </x:row>
  </x:sheetData>
  <x:conditionalFormatting sqref="D2:H11">
    <x:cfRule type="expression" dxfId="3" priority="1">
      <x:formula>D2="C"</x:formula>
    </x:cfRule>
    <x:cfRule type="expression" dxfId="4" priority="2">
      <x:formula>D2="P"</x:formula>
    </x:cfRule>
    <x:cfRule type="expression" dxfId="5" priority="3">
      <x:formula>D2="SE"</x:formula>
    </x:cfRule>
  </x:conditionalFormatting>
  <x:conditionalFormatting sqref="D2:D11">
    <x:cfRule type="expression" dxfId="6" priority="4">
      <x:formula>D2="C"</x:formula>
    </x:cfRule>
    <x:cfRule type="expression" dxfId="7" priority="5">
      <x:formula>D2="P"</x:formula>
    </x:cfRule>
    <x:cfRule type="expression" dxfId="8" priority="6">
      <x:formula>D2="SE"</x:formula>
    </x:cfRule>
  </x:conditionalFormatting>
  <x:conditionalFormatting sqref="E2:E11">
    <x:cfRule type="expression" dxfId="9" priority="7">
      <x:formula>E2="C"</x:formula>
    </x:cfRule>
    <x:cfRule type="expression" dxfId="10" priority="8">
      <x:formula>E2="P"</x:formula>
    </x:cfRule>
    <x:cfRule type="expression" dxfId="11" priority="9">
      <x:formula>E2="SE"</x:formula>
    </x:cfRule>
  </x:conditionalFormatting>
  <x:conditionalFormatting sqref="F2:F11">
    <x:cfRule type="expression" dxfId="12" priority="10">
      <x:formula>F2="C"</x:formula>
    </x:cfRule>
    <x:cfRule type="expression" dxfId="13" priority="11">
      <x:formula>F2="P"</x:formula>
    </x:cfRule>
    <x:cfRule type="expression" dxfId="14" priority="12">
      <x:formula>F2="SE"</x:formula>
    </x:cfRule>
  </x:conditionalFormatting>
  <x:conditionalFormatting sqref="G2:G11">
    <x:cfRule type="expression" dxfId="15" priority="13">
      <x:formula>G2="C"</x:formula>
    </x:cfRule>
    <x:cfRule type="expression" dxfId="16" priority="14">
      <x:formula>G2="P"</x:formula>
    </x:cfRule>
    <x:cfRule type="expression" dxfId="17" priority="15">
      <x:formula>G2="SE"</x:formula>
    </x:cfRule>
  </x:conditionalFormatting>
  <x:conditionalFormatting sqref="H2:H11">
    <x:cfRule type="expression" dxfId="18" priority="16">
      <x:formula>H2="C"</x:formula>
    </x:cfRule>
    <x:cfRule type="expression" dxfId="19" priority="17">
      <x:formula>H2="P"</x:formula>
    </x:cfRule>
    <x:cfRule type="expression" dxfId="20" priority="18">
      <x:formula>H2="SE"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18" hidden="0" customWidth="1"/>
    <x:col min="6" max="6" width="10" hidden="0" customWidth="1"/>
    <x:col min="7" max="7" width="10" hidden="0" customWidth="1"/>
    <x:col min="8" max="8" width="55" hidden="0" customWidth="1"/>
    <x:col min="10" max="10" width="28" hidden="0" customWidth="1"/>
    <x:col min="11" max="11" width="16" hidden="0" customWidth="1"/>
    <x:col min="12" max="12" width="16" hidden="0" customWidth="1"/>
  </x:cols>
  <x:sheetData>
    <x:row r="1">
      <x:c r="A1" s="28" t="str">
        <x:v>Resumo das evidências por habilidade</x:v>
      </x:c>
      <x:c r="B1" s="28"/>
      <x:c r="C1" s="28"/>
      <x:c r="D1" s="28"/>
      <x:c r="E1" s="28"/>
      <x:c r="F1" s="28"/>
      <x:c r="G1" s="28"/>
      <x:c r="H1" s="28"/>
    </x:row>
    <x:row r="2">
      <x:c r="A2" s="23"/>
      <x:c r="B2" s="23"/>
      <x:c r="C2" s="23"/>
      <x:c r="D2" s="23"/>
      <x:c r="E2" s="23"/>
      <x:c r="F2" s="23"/>
      <x:c r="G2" s="23"/>
      <x:c r="H2" s="23"/>
      <x:c r="J2" s="5" t="str">
        <x:v>Habilidade</x:v>
      </x:c>
      <x:c r="K2" s="5" t="str">
        <x:v>Chaves do Cofre</x:v>
      </x:c>
      <x:c r="L2" s="5" t="str">
        <x:v>Água para Todos</x:v>
      </x:c>
    </x:row>
    <x:row r="3">
      <x:c r="A3" s="22" t="str">
        <x:v>Atividade</x:v>
      </x:c>
      <x:c r="B3" s="22" t="str">
        <x:v>Habilidade</x:v>
      </x:c>
      <x:c r="C3" s="22" t="str">
        <x:v>Clara (C)</x:v>
      </x:c>
      <x:c r="D3" s="22" t="str">
        <x:v>Parcial (P)</x:v>
      </x:c>
      <x:c r="E3" s="22" t="str">
        <x:v>Sem evidência (SE)</x:v>
      </x:c>
      <x:c r="F3" s="22" t="str">
        <x:v>Total</x:v>
      </x:c>
      <x:c r="G3" s="22" t="str">
        <x:v>% C</x:v>
      </x:c>
      <x:c r="H3" s="22" t="str">
        <x:v>Observação</x:v>
      </x:c>
      <x:c r="J3" t="str">
        <x:v>Pensamento algorítmico</x:v>
      </x:c>
      <x:c r="K3" t="n">
        <x:f>C4</x:f>
        <x:v>5</x:v>
      </x:c>
      <x:c r="L3" t="n">
        <x:f>C9</x:f>
        <x:v>4</x:v>
      </x:c>
    </x:row>
    <x:row r="4">
      <x:c r="A4" s="23" t="str">
        <x:v>Chaves do Cofre</x:v>
      </x:c>
      <x:c r="B4" s="23" t="str">
        <x:v>Pensamento algorítmico</x:v>
      </x:c>
      <x:c r="C4" s="23" t="n">
        <x:f>COUNTIFS('Síntese'!$A$2:$A$11,A4,'Síntese'!$D$2:$D$11,"C")</x:f>
        <x:v>5</x:v>
      </x:c>
      <x:c r="D4" s="23" t="n">
        <x:f>COUNTIFS('Síntese'!$A$2:$A$11,A4,'Síntese'!$D$2:$D$11,"P")</x:f>
        <x:v>0</x:v>
      </x:c>
      <x:c r="E4" s="23" t="n">
        <x:f>COUNTIFS('Síntese'!$A$2:$A$11,A4,'Síntese'!$D$2:$D$11,"SE")</x:f>
        <x:v>0</x:v>
      </x:c>
      <x:c r="F4" s="23" t="n">
        <x:f>SUM(C4:E4)</x:f>
        <x:v>5</x:v>
      </x:c>
      <x:c r="G4" s="30" t="n">
        <x:f>IF(F4=0,0,C4/F4)</x:f>
        <x:v>1</x:v>
      </x:c>
      <x:c r="H4" s="23" t="str"/>
      <x:c r="J4" t="str">
        <x:v>Decomposição</x:v>
      </x:c>
      <x:c r="K4" t="n">
        <x:f>C5</x:f>
        <x:v>0</x:v>
      </x:c>
      <x:c r="L4" t="n">
        <x:f>C10</x:f>
        <x:v>4</x:v>
      </x:c>
    </x:row>
    <x:row r="5">
      <x:c r="A5" s="23" t="str">
        <x:v>Chaves do Cofre</x:v>
      </x:c>
      <x:c r="B5" s="23" t="str">
        <x:v>Decomposição</x:v>
      </x:c>
      <x:c r="C5" s="23" t="n">
        <x:f>COUNTIFS('Síntese'!$A$2:$A$11,A5,'Síntese'!$E$2:$E$11,"C")</x:f>
        <x:v>0</x:v>
      </x:c>
      <x:c r="D5" s="23" t="n">
        <x:f>COUNTIFS('Síntese'!$A$2:$A$11,A5,'Síntese'!$E$2:$E$11,"P")</x:f>
        <x:v>1</x:v>
      </x:c>
      <x:c r="E5" s="23" t="n">
        <x:f>COUNTIFS('Síntese'!$A$2:$A$11,A5,'Síntese'!$E$2:$E$11,"SE")</x:f>
        <x:v>4</x:v>
      </x:c>
      <x:c r="F5" s="23" t="n">
        <x:f>SUM(C5:E5)</x:f>
        <x:v>5</x:v>
      </x:c>
      <x:c r="G5" s="30" t="n">
        <x:f>IF(F5=0,0,C5/F5)</x:f>
        <x:v>0</x:v>
      </x:c>
      <x:c r="H5" s="23" t="str"/>
      <x:c r="J5" t="str">
        <x:v>Abstração</x:v>
      </x:c>
      <x:c r="K5" t="n">
        <x:f>C6</x:f>
        <x:v>0</x:v>
      </x:c>
      <x:c r="L5" t="n">
        <x:f>C11</x:f>
        <x:v>4</x:v>
      </x:c>
    </x:row>
    <x:row r="6">
      <x:c r="A6" s="23" t="str">
        <x:v>Chaves do Cofre</x:v>
      </x:c>
      <x:c r="B6" s="23" t="str">
        <x:v>Abstração</x:v>
      </x:c>
      <x:c r="C6" s="23" t="n">
        <x:f>COUNTIFS('Síntese'!$A$2:$A$11,A6,'Síntese'!$F$2:$F$11,"C")</x:f>
        <x:v>0</x:v>
      </x:c>
      <x:c r="D6" s="23" t="n">
        <x:f>COUNTIFS('Síntese'!$A$2:$A$11,A6,'Síntese'!$F$2:$F$11,"P")</x:f>
        <x:v>2</x:v>
      </x:c>
      <x:c r="E6" s="23" t="n">
        <x:f>COUNTIFS('Síntese'!$A$2:$A$11,A6,'Síntese'!$F$2:$F$11,"SE")</x:f>
        <x:v>3</x:v>
      </x:c>
      <x:c r="F6" s="23" t="n">
        <x:f>SUM(C6:E6)</x:f>
        <x:v>5</x:v>
      </x:c>
      <x:c r="G6" s="30" t="n">
        <x:f>IF(F6=0,0,C6/F6)</x:f>
        <x:v>0</x:v>
      </x:c>
      <x:c r="H6" s="23" t="str"/>
      <x:c r="J6" t="str">
        <x:v>Avaliação e depuração</x:v>
      </x:c>
      <x:c r="K6" t="n">
        <x:f>C7</x:f>
        <x:v>3</x:v>
      </x:c>
      <x:c r="L6" t="n">
        <x:f>C12</x:f>
        <x:v>3</x:v>
      </x:c>
    </x:row>
    <x:row r="7">
      <x:c r="A7" s="23" t="str">
        <x:v>Chaves do Cofre</x:v>
      </x:c>
      <x:c r="B7" s="23" t="str">
        <x:v>Avaliação e depuração</x:v>
      </x:c>
      <x:c r="C7" s="23" t="n">
        <x:f>COUNTIFS('Síntese'!$A$2:$A$11,A7,'Síntese'!$G$2:$G$11,"C")</x:f>
        <x:v>3</x:v>
      </x:c>
      <x:c r="D7" s="23" t="n">
        <x:f>COUNTIFS('Síntese'!$A$2:$A$11,A7,'Síntese'!$G$2:$G$11,"P")</x:f>
        <x:v>2</x:v>
      </x:c>
      <x:c r="E7" s="23" t="n">
        <x:f>COUNTIFS('Síntese'!$A$2:$A$11,A7,'Síntese'!$G$2:$G$11,"SE")</x:f>
        <x:v>0</x:v>
      </x:c>
      <x:c r="F7" s="23" t="n">
        <x:f>SUM(C7:E7)</x:f>
        <x:v>5</x:v>
      </x:c>
      <x:c r="G7" s="30" t="n">
        <x:f>IF(F7=0,0,C7/F7)</x:f>
        <x:v>0.6</x:v>
      </x:c>
      <x:c r="H7" s="23" t="str"/>
      <x:c r="J7" t="str">
        <x:v>Reconhecimento de padrões</x:v>
      </x:c>
      <x:c r="K7" t="n">
        <x:f>C8</x:f>
        <x:v>0</x:v>
      </x:c>
      <x:c r="L7" t="n">
        <x:f>C13</x:f>
        <x:v>0</x:v>
      </x:c>
    </x:row>
    <x:row r="8">
      <x:c r="A8" s="23" t="str">
        <x:v>Chaves do Cofre</x:v>
      </x:c>
      <x:c r="B8" s="23" t="str">
        <x:v>Reconhecimento de padrões</x:v>
      </x:c>
      <x:c r="C8" s="23" t="n">
        <x:f>COUNTIFS('Síntese'!$A$2:$A$11,A8,'Síntese'!$H$2:$H$11,"C")</x:f>
        <x:v>0</x:v>
      </x:c>
      <x:c r="D8" s="23" t="n">
        <x:f>COUNTIFS('Síntese'!$A$2:$A$11,A8,'Síntese'!$H$2:$H$11,"P")</x:f>
        <x:v>0</x:v>
      </x:c>
      <x:c r="E8" s="23" t="n">
        <x:f>COUNTIFS('Síntese'!$A$2:$A$11,A8,'Síntese'!$H$2:$H$11,"SE")</x:f>
        <x:v>5</x:v>
      </x:c>
      <x:c r="F8" s="23" t="n">
        <x:f>SUM(C8:E8)</x:f>
        <x:v>5</x:v>
      </x:c>
      <x:c r="G8" s="30" t="n">
        <x:f>IF(F8=0,0,C8/F8)</x:f>
        <x:v>0</x:v>
      </x:c>
      <x:c r="H8" s="23" t="str">
        <x:v>Não houve evidência explícita suficiente nos registros do piloto.</x:v>
      </x:c>
    </x:row>
    <x:row r="9">
      <x:c r="A9" s="23" t="str">
        <x:v>Água para Todos</x:v>
      </x:c>
      <x:c r="B9" s="23" t="str">
        <x:v>Pensamento algorítmico</x:v>
      </x:c>
      <x:c r="C9" s="23" t="n">
        <x:f>COUNTIFS('Síntese'!$A$2:$A$11,A9,'Síntese'!$D$2:$D$11,"C")</x:f>
        <x:v>4</x:v>
      </x:c>
      <x:c r="D9" s="23" t="n">
        <x:f>COUNTIFS('Síntese'!$A$2:$A$11,A9,'Síntese'!$D$2:$D$11,"P")</x:f>
        <x:v>1</x:v>
      </x:c>
      <x:c r="E9" s="23" t="n">
        <x:f>COUNTIFS('Síntese'!$A$2:$A$11,A9,'Síntese'!$D$2:$D$11,"SE")</x:f>
        <x:v>0</x:v>
      </x:c>
      <x:c r="F9" s="23" t="n">
        <x:f>SUM(C9:E9)</x:f>
        <x:v>5</x:v>
      </x:c>
      <x:c r="G9" s="30" t="n">
        <x:f>IF(F9=0,0,C9/F9)</x:f>
        <x:v>0.8</x:v>
      </x:c>
      <x:c r="H9" s="23" t="str"/>
    </x:row>
    <x:row r="10">
      <x:c r="A10" s="23" t="str">
        <x:v>Água para Todos</x:v>
      </x:c>
      <x:c r="B10" s="23" t="str">
        <x:v>Decomposição</x:v>
      </x:c>
      <x:c r="C10" s="23" t="n">
        <x:f>COUNTIFS('Síntese'!$A$2:$A$11,A10,'Síntese'!$E$2:$E$11,"C")</x:f>
        <x:v>4</x:v>
      </x:c>
      <x:c r="D10" s="23" t="n">
        <x:f>COUNTIFS('Síntese'!$A$2:$A$11,A10,'Síntese'!$E$2:$E$11,"P")</x:f>
        <x:v>1</x:v>
      </x:c>
      <x:c r="E10" s="23" t="n">
        <x:f>COUNTIFS('Síntese'!$A$2:$A$11,A10,'Síntese'!$E$2:$E$11,"SE")</x:f>
        <x:v>0</x:v>
      </x:c>
      <x:c r="F10" s="23" t="n">
        <x:f>SUM(C10:E10)</x:f>
        <x:v>5</x:v>
      </x:c>
      <x:c r="G10" s="30" t="n">
        <x:f>IF(F10=0,0,C10/F10)</x:f>
        <x:v>0.8</x:v>
      </x:c>
      <x:c r="H10" s="23" t="str"/>
    </x:row>
    <x:row r="11">
      <x:c r="A11" s="23" t="str">
        <x:v>Água para Todos</x:v>
      </x:c>
      <x:c r="B11" s="23" t="str">
        <x:v>Abstração</x:v>
      </x:c>
      <x:c r="C11" s="23" t="n">
        <x:f>COUNTIFS('Síntese'!$A$2:$A$11,A11,'Síntese'!$F$2:$F$11,"C")</x:f>
        <x:v>4</x:v>
      </x:c>
      <x:c r="D11" s="23" t="n">
        <x:f>COUNTIFS('Síntese'!$A$2:$A$11,A11,'Síntese'!$F$2:$F$11,"P")</x:f>
        <x:v>1</x:v>
      </x:c>
      <x:c r="E11" s="23" t="n">
        <x:f>COUNTIFS('Síntese'!$A$2:$A$11,A11,'Síntese'!$F$2:$F$11,"SE")</x:f>
        <x:v>0</x:v>
      </x:c>
      <x:c r="F11" s="23" t="n">
        <x:f>SUM(C11:E11)</x:f>
        <x:v>5</x:v>
      </x:c>
      <x:c r="G11" s="30" t="n">
        <x:f>IF(F11=0,0,C11/F11)</x:f>
        <x:v>0.8</x:v>
      </x:c>
      <x:c r="H11" s="23" t="str"/>
    </x:row>
    <x:row r="12">
      <x:c r="A12" s="23" t="str">
        <x:v>Água para Todos</x:v>
      </x:c>
      <x:c r="B12" s="23" t="str">
        <x:v>Avaliação e depuração</x:v>
      </x:c>
      <x:c r="C12" s="23" t="n">
        <x:f>COUNTIFS('Síntese'!$A$2:$A$11,A12,'Síntese'!$G$2:$G$11,"C")</x:f>
        <x:v>3</x:v>
      </x:c>
      <x:c r="D12" s="23" t="n">
        <x:f>COUNTIFS('Síntese'!$A$2:$A$11,A12,'Síntese'!$G$2:$G$11,"P")</x:f>
        <x:v>0</x:v>
      </x:c>
      <x:c r="E12" s="23" t="n">
        <x:f>COUNTIFS('Síntese'!$A$2:$A$11,A12,'Síntese'!$G$2:$G$11,"SE")</x:f>
        <x:v>2</x:v>
      </x:c>
      <x:c r="F12" s="23" t="n">
        <x:f>SUM(C12:E12)</x:f>
        <x:v>5</x:v>
      </x:c>
      <x:c r="G12" s="30" t="n">
        <x:f>IF(F12=0,0,C12/F12)</x:f>
        <x:v>0.6</x:v>
      </x:c>
      <x:c r="H12" s="23" t="str"/>
    </x:row>
    <x:row r="13">
      <x:c r="A13" s="23" t="str">
        <x:v>Água para Todos</x:v>
      </x:c>
      <x:c r="B13" s="23" t="str">
        <x:v>Reconhecimento de padrões</x:v>
      </x:c>
      <x:c r="C13" s="23" t="n">
        <x:f>COUNTIFS('Síntese'!$A$2:$A$11,A13,'Síntese'!$H$2:$H$11,"C")</x:f>
        <x:v>0</x:v>
      </x:c>
      <x:c r="D13" s="23" t="n">
        <x:f>COUNTIFS('Síntese'!$A$2:$A$11,A13,'Síntese'!$H$2:$H$11,"P")</x:f>
        <x:v>0</x:v>
      </x:c>
      <x:c r="E13" s="23" t="n">
        <x:f>COUNTIFS('Síntese'!$A$2:$A$11,A13,'Síntese'!$H$2:$H$11,"SE")</x:f>
        <x:v>5</x:v>
      </x:c>
      <x:c r="F13" s="23" t="n">
        <x:f>SUM(C13:E13)</x:f>
        <x:v>5</x:v>
      </x:c>
      <x:c r="G13" s="30" t="n">
        <x:f>IF(F13=0,0,C13/F13)</x:f>
        <x:v>0</x:v>
      </x:c>
      <x:c r="H13" s="23" t="str">
        <x:v>Não houve evidência explícita suficiente nos registros do piloto.</x:v>
      </x:c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8" t="str">
        <x:v>Leitura qualitativa do piloto</x:v>
      </x:c>
      <x:c r="B16" s="28"/>
      <x:c r="C16" s="28"/>
      <x:c r="D16" s="28"/>
      <x:c r="E16" s="28"/>
      <x:c r="F16" s="28"/>
      <x:c r="G16" s="28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2" t="str">
        <x:v>Achado</x:v>
      </x:c>
      <x:c r="B18" s="22" t="str">
        <x:v>Interpretação</x:v>
      </x:c>
      <x:c r="C18" s="23"/>
      <x:c r="D18" s="23"/>
      <x:c r="E18" s="23"/>
      <x:c r="F18" s="23"/>
      <x:c r="G18" s="23"/>
      <x:c r="H18" s="23"/>
    </x:row>
    <x:row r="19">
      <x:c r="A19" s="23" t="str">
        <x:v>Pensamento algorítmico</x:v>
      </x:c>
      <x:c r="B19" s="23" t="str">
        <x:v>Foi a habilidade mais recorrente. Em Chaves do Cofre, apareceu principalmente em sequências de objetos; em Água para Todos, em procedimentos de traçado e análise de caminhos.</x:v>
      </x:c>
      <x:c r="C19" s="23"/>
      <x:c r="D19" s="23"/>
      <x:c r="E19" s="23"/>
      <x:c r="F19" s="23"/>
      <x:c r="G19" s="23"/>
      <x:c r="H19" s="23"/>
    </x:row>
    <x:row r="20">
      <x:c r="A20" s="23" t="str">
        <x:v>Decomposição</x:v>
      </x:c>
      <x:c r="B20" s="23" t="str">
        <x:v>Apareceu sobretudo em Água para Todos, quando estudantes analisaram centros, vilas ou caminhos separadamente. Em Chaves do Cofre, os registros deram pouca sustentação direta a essa categoria.</x:v>
      </x:c>
      <x:c r="C20" s="23"/>
      <x:c r="D20" s="23"/>
      <x:c r="E20" s="23"/>
      <x:c r="F20" s="23"/>
      <x:c r="G20" s="23"/>
      <x:c r="H20" s="23"/>
    </x:row>
    <x:row r="21">
      <x:c r="A21" s="23" t="str">
        <x:v>Abstração</x:v>
      </x:c>
      <x:c r="B21" s="23" t="str">
        <x:v>Ficou mais visível em Água para Todos, especialmente pela seleção do número de estradas, menor distância e limite de duas estradas como critérios relevantes.</x:v>
      </x:c>
      <x:c r="C21" s="23"/>
      <x:c r="D21" s="23"/>
      <x:c r="E21" s="23"/>
      <x:c r="F21" s="23"/>
      <x:c r="G21" s="23"/>
      <x:c r="H21" s="23"/>
    </x:row>
    <x:row r="22">
      <x:c r="A22" s="23" t="str">
        <x:v>Avaliação e depuração</x:v>
      </x:c>
      <x:c r="B22" s="23" t="str">
        <x:v>Apareceu nas duas atividades por meio de testes, comparação de alternativas, releitura, descarte de caminhos e mudanças de estratégia.</x:v>
      </x:c>
      <x:c r="C22" s="23"/>
      <x:c r="D22" s="23"/>
      <x:c r="E22" s="23"/>
      <x:c r="F22" s="23"/>
      <x:c r="G22" s="23"/>
      <x:c r="H22" s="23"/>
    </x:row>
    <x:row r="23">
      <x:c r="A23" s="23" t="str">
        <x:v>Reconhecimento de padrões</x:v>
      </x:c>
      <x:c r="B23" s="23" t="str">
        <x:v>Não foi possível identificar evidência explícita suficiente nos dez registros do piloto. Isso não permite concluir que a habilidade esteja ausente nos estudantes; apenas que os registros analisados não a evidenciam.</x:v>
      </x:c>
      <x:c r="C23" s="23"/>
      <x:c r="D23" s="23"/>
      <x:c r="E23" s="23"/>
      <x:c r="F23" s="23"/>
      <x:c r="G23" s="23"/>
      <x:c r="H23" s="23"/>
    </x:row>
    <x:row r="24">
      <x:c r="A24" s="23" t="str">
        <x:v>Comparação entre atividades</x:v>
      </x:c>
      <x:c r="B24" s="23" t="str">
        <x:v>Os registros sugerem que Água para Todos favoreceu evidências mais diversificadas de decomposição e abstração, enquanto Chaves do Cofre evidenciou fortemente sequenciação e avaliação de caminhos.</x:v>
      </x:c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</x:sheetData>
  <x:mergeCells>
    <x:mergeCell ref="A1:H1"/>
    <x:mergeCell ref="A16:G16"/>
  </x:mergeCells>
  <x:pageMargins left="0.7" right="0.7" top="0.75" bottom="0.75" header="0.3" footer="0.3"/>
  <x:drawing xmlns:r="http://schemas.openxmlformats.org/officeDocument/2006/relationships" r:id="R4159df41f822478d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70" hidden="0" customWidth="1"/>
  </x:cols>
  <x:sheetData>
    <x:row r="1">
      <x:c r="A1" s="22" t="str">
        <x:v>Código</x:v>
      </x:c>
      <x:c r="B1" s="22" t="str">
        <x:v>Categoria</x:v>
      </x:c>
      <x:c r="C1" s="22" t="str">
        <x:v>Definição operacional usada nesta análise</x:v>
      </x:c>
    </x:row>
    <x:row r="2">
      <x:c r="A2" s="23" t="str">
        <x:v>C</x:v>
      </x:c>
      <x:c r="B2" s="23" t="str">
        <x:v>Evidência clara</x:v>
      </x:c>
      <x:c r="C2" s="23" t="str">
        <x:v>O registro mostra diretamente a habilidade, por texto, sequência, marcação ou explicação suficientemente explícita.</x:v>
      </x:c>
    </x:row>
    <x:row r="3">
      <x:c r="A3" s="23" t="str">
        <x:v>P</x:v>
      </x:c>
      <x:c r="B3" s="23" t="str">
        <x:v>Evidência parcial</x:v>
      </x:c>
      <x:c r="C3" s="23" t="str">
        <x:v>Há indícios compatíveis com a habilidade, mas o registro é breve, ambíguo ou não permite caracterizar o processo com segurança.</x:v>
      </x:c>
    </x:row>
    <x:row r="4">
      <x:c r="A4" s="23" t="str">
        <x:v>SE</x:v>
      </x:c>
      <x:c r="B4" s="23" t="str">
        <x:v>Sem evidência suficiente</x:v>
      </x:c>
      <x:c r="C4" s="23" t="str">
        <x:v>O material disponível não permite identificar a habilidade naquele registro. Não significa ausência da habilidade no estudante.</x:v>
      </x:c>
    </x:row>
    <x:row r="5">
      <x:c r="A5" s="23" t="str">
        <x:v>PA</x:v>
      </x:c>
      <x:c r="B5" s="23" t="str">
        <x:v>Pensamento algorítmico</x:v>
      </x:c>
      <x:c r="C5" s="23" t="str">
        <x:v>Sequência ordenada de passos, percurso sistemático ou procedimento repetível explicitado no registro.</x:v>
      </x:c>
    </x:row>
    <x:row r="6">
      <x:c r="A6" s="23" t="str">
        <x:v>DEC</x:v>
      </x:c>
      <x:c r="B6" s="23" t="str">
        <x:v>Decomposição</x:v>
      </x:c>
      <x:c r="C6" s="23" t="str">
        <x:v>Tratamento do problema em partes, como candidatos, centros, vilas, caminhos ou subproblemas analisados separadamente.</x:v>
      </x:c>
    </x:row>
    <x:row r="7">
      <x:c r="A7" s="23" t="str">
        <x:v>ABS</x:v>
      </x:c>
      <x:c r="B7" s="23" t="str">
        <x:v>Abstração</x:v>
      </x:c>
      <x:c r="C7" s="23" t="str">
        <x:v>Seleção explícita de informações relevantes, critérios ou representações essenciais, como número de estradas, menor distância ou limite máximo.</x:v>
      </x:c>
    </x:row>
    <x:row r="8">
      <x:c r="A8" s="23" t="str">
        <x:v>AV/DEP</x:v>
      </x:c>
      <x:c r="B8" s="23" t="str">
        <x:v>Avaliação e depuração</x:v>
      </x:c>
      <x:c r="C8" s="23" t="str">
        <x:v>Teste, comparação, descarte, revisão ou correção de alternativas/estratégias, incluindo identificação do motivo de falha.</x:v>
      </x:c>
    </x:row>
    <x:row r="9">
      <x:c r="A9" s="23" t="str">
        <x:v>PAD</x:v>
      </x:c>
      <x:c r="B9" s="23" t="str">
        <x:v>Reconhecimento de padrões</x:v>
      </x:c>
      <x:c r="C9" s="23" t="str">
        <x:v>Identificação ou reutilização explícita de regularidades, semelhanças ou relações recorrentes.</x:v>
      </x:c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8" t="str">
        <x:v>Nota metodológica</x:v>
      </x:c>
      <x:c r="B12" s="28" t="str"/>
      <x:c r="C12" s="28" t="str"/>
    </x:row>
    <x:row r="13">
      <x:c r="A13" s="23" t="str">
        <x:v>Unidade de análise</x:v>
      </x:c>
      <x:c r="B13" s="23" t="str">
        <x:v>Resposta/registro de questão</x:v>
      </x:c>
      <x:c r="C13" s="23" t="str">
        <x:v>Texto, alternativa, desenho, caminho ou marcação são considerados em conjunto.</x:v>
      </x:c>
    </x:row>
    <x:row r="14">
      <x:c r="A14" s="23" t="str">
        <x:v>Uso do nome</x:v>
      </x:c>
      <x:c r="B14" s="23" t="str">
        <x:v>Apenas revisão manual</x:v>
      </x:c>
      <x:c r="C14" s="23" t="str">
        <x:v>O nome não é usado como variável na análise; o identificador analítico é Atividade + Código.</x:v>
      </x:c>
    </x:row>
    <x:row r="15">
      <x:c r="A15" s="23" t="str">
        <x:v>Limite da inferência</x:v>
      </x:c>
      <x:c r="B15" s="23" t="str">
        <x:v>Sem atribuição de intenção não registrada</x:v>
      </x:c>
      <x:c r="C15" s="23" t="str">
        <x:v>A codificação considera apenas evidências observáveis nos registros revisados.</x:v>
      </x:c>
    </x:row>
    <x:row r="17">
      <x:c r="A17" s="35" t="str">
        <x:v>Fonte do piloto</x:v>
      </x:c>
      <x:c r="B17" s="35" t="str">
        <x:v>Arquivo revisado</x:v>
      </x:c>
      <x:c r="C17" s="35" t="str">
        <x:v>resultado_turma_revisado_sem_revisar.xlsx</x:v>
      </x:c>
    </x:row>
    <x:row r="18">
      <x:c r="A18" t="str">
        <x:v>Amostra</x:v>
      </x:c>
      <x:c r="B18" t="str">
        <x:v>10 registros</x:v>
      </x:c>
      <x:c r="C18" t="str">
        <x:v>5 de Chaves do Cofre e 5 de Água para Todos.</x:v>
      </x:c>
    </x:row>
    <x:row r="19">
      <x:c r="A19" t="str">
        <x:v>Observação sobre códigos</x:v>
      </x:c>
      <x:c r="B19" t="str">
        <x:v>Códigos são tratados dentro da atividade</x:v>
      </x:c>
      <x:c r="C19" t="str">
        <x:v>A001 em atividades diferentes não é assumido como o mesmo estudante, pois os nomes associados diferem no arquivo revisado.</x:v>
      </x:c>
    </x:row>
    <x:row r="21">
      <x:c r="A21" s="35" t="str">
        <x:v>Importante</x:v>
      </x:c>
      <x:c r="B21" s="35" t="str">
        <x:v>C/P/SE não são notas</x:v>
      </x:c>
      <x:c r="C21" s="35" t="str">
        <x:v>As categorias indicam força da evidência disponível no registro, não nível de habilidade do estudante.</x:v>
      </x:c>
    </x:row>
    <x:row r="22">
      <x:c r="A22" t="str">
        <x:v>Interpretação</x:v>
      </x:c>
      <x:c r="B22" t="str">
        <x:v>Ausência de evidência ≠ ausência de habilidade</x:v>
      </x:c>
      <x:c r="C22" t="str">
        <x:v>SE significa apenas que a produção analisada não permite sustentar a categoria naquele caso.</x:v>
      </x:c>
    </x:row>
  </x:sheetData>
  <x:pageMargins left="0.7" right="0.7" top="0.75" bottom="0.75" header="0.3" footer="0.3"/>
</x:worksheet>
</file>